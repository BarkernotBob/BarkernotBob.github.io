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ojec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1" pivotButton="0" quotePrefix="0" xfId="0"/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" fontId="0" fillId="4" borderId="1" applyAlignment="1" pivotButton="0" quotePrefix="0" xfId="0">
      <alignment horizontal="right"/>
    </xf>
    <xf numFmtId="0" fontId="2" fillId="2" borderId="0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Affordability by Year (0-5)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'Projection'!$A$2:$A$7</f>
            </numRef>
          </cat>
          <val>
            <numRef>
              <f>'Projection'!$I$2:$I$7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3" customWidth="1" min="3" max="3"/>
    <col width="18" customWidth="1" min="4" max="4"/>
  </cols>
  <sheetData>
    <row r="1">
      <c r="A1" s="1" t="inlineStr">
        <is>
          <t>Home Affordability Tool</t>
        </is>
      </c>
    </row>
    <row r="3">
      <c r="A3" s="2" t="inlineStr">
        <is>
          <t>User Inputs</t>
        </is>
      </c>
    </row>
    <row r="5">
      <c r="A5" s="3" t="inlineStr">
        <is>
          <t>Current annual wage</t>
        </is>
      </c>
      <c r="B5" s="4" t="n">
        <v>90000</v>
      </c>
      <c r="D5" t="inlineStr">
        <is>
          <t>Notes</t>
        </is>
      </c>
    </row>
    <row r="6">
      <c r="A6" s="3" t="inlineStr">
        <is>
          <t>Wage appreciation %</t>
        </is>
      </c>
      <c r="B6" s="5" t="n">
        <v>0.04</v>
      </c>
      <c r="D6" t="inlineStr">
        <is>
          <t>All outputs below update automatically.</t>
        </is>
      </c>
    </row>
    <row r="7">
      <c r="A7" s="3" t="inlineStr">
        <is>
          <t>Current annual savings rate</t>
        </is>
      </c>
      <c r="B7" s="5" t="n">
        <v>12000</v>
      </c>
    </row>
    <row r="8">
      <c r="A8" s="3" t="inlineStr">
        <is>
          <t>Current down payment saved</t>
        </is>
      </c>
      <c r="B8" s="4" t="n">
        <v>45000</v>
      </c>
      <c r="D8" t="inlineStr">
        <is>
          <t>Year 0 = today.</t>
        </is>
      </c>
    </row>
    <row r="9">
      <c r="A9" s="3" t="inlineStr">
        <is>
          <t>Current home sale price</t>
        </is>
      </c>
      <c r="B9" s="4" t="n">
        <v>350000</v>
      </c>
      <c r="D9" t="inlineStr">
        <is>
          <t>Projection extends 5 years.</t>
        </is>
      </c>
    </row>
    <row r="10">
      <c r="A10" s="3" t="inlineStr">
        <is>
          <t>Closing cost % of sale price</t>
        </is>
      </c>
      <c r="B10" s="5" t="n">
        <v>0.06</v>
      </c>
      <c r="D10" t="inlineStr">
        <is>
          <t>Purchase price is inflation-adjusted.</t>
        </is>
      </c>
    </row>
    <row r="11">
      <c r="A11" s="3" t="inlineStr">
        <is>
          <t>Home sale price appreciation %</t>
        </is>
      </c>
      <c r="B11" s="5" t="n">
        <v>0.03</v>
      </c>
      <c r="D11" t="inlineStr">
        <is>
          <t>Affordability is based on max payment.</t>
        </is>
      </c>
    </row>
    <row r="12">
      <c r="A12" s="3" t="inlineStr">
        <is>
          <t>Home purchase price appreciation %</t>
        </is>
      </c>
      <c r="B12" s="5" t="n">
        <v>0.03</v>
      </c>
    </row>
    <row r="13">
      <c r="A13" s="3" t="inlineStr">
        <is>
          <t>Max monthly payment</t>
        </is>
      </c>
      <c r="B13" s="4" t="n">
        <v>2800</v>
      </c>
    </row>
    <row r="14">
      <c r="A14" s="3" t="inlineStr">
        <is>
          <t>Mortgage rate</t>
        </is>
      </c>
      <c r="B14" s="5" t="n">
        <v>0.065</v>
      </c>
    </row>
    <row r="15">
      <c r="A15" s="3" t="inlineStr">
        <is>
          <t>Loan term years</t>
        </is>
      </c>
      <c r="B15" s="6" t="n">
        <v>30</v>
      </c>
    </row>
    <row r="16">
      <c r="A16" s="3" t="inlineStr">
        <is>
          <t>Down payment %</t>
        </is>
      </c>
      <c r="B16" s="5" t="n">
        <v>0.2</v>
      </c>
    </row>
    <row r="17">
      <c r="A17" s="3" t="inlineStr">
        <is>
          <t>Property tax %</t>
        </is>
      </c>
      <c r="B17" s="5" t="n">
        <v>0.012</v>
      </c>
    </row>
    <row r="18">
      <c r="A18" s="3" t="inlineStr">
        <is>
          <t>Insurance yearly</t>
        </is>
      </c>
      <c r="B18" s="4" t="n">
        <v>1400</v>
      </c>
    </row>
    <row r="19">
      <c r="A19" s="3" t="inlineStr">
        <is>
          <t>HOA monthly</t>
        </is>
      </c>
      <c r="B19" s="4" t="n">
        <v>0</v>
      </c>
    </row>
    <row r="20">
      <c r="A20" s="3" t="inlineStr">
        <is>
          <t>PMI % of loan</t>
        </is>
      </c>
      <c r="B20" s="5" t="n">
        <v>0.0075</v>
      </c>
    </row>
    <row r="21">
      <c r="A21" s="3" t="inlineStr">
        <is>
          <t>Inflation / discount rate</t>
        </is>
      </c>
      <c r="B21" s="5" t="n">
        <v>0.03</v>
      </c>
    </row>
  </sheetData>
  <mergeCells count="2">
    <mergeCell ref="A1:D1"/>
    <mergeCell ref="A3:D3"/>
  </mergeCells>
  <dataValidations count="17">
    <dataValidation sqref="B5" showDropDown="0" showInputMessage="0" showErrorMessage="0" allowBlank="0" type="decimal"/>
    <dataValidation sqref="B6" showDropDown="0" showInputMessage="0" showErrorMessage="0" allowBlank="0" type="decimal"/>
    <dataValidation sqref="B7" showDropDown="0" showInputMessage="0" showErrorMessage="0" allowBlank="0" type="decimal"/>
    <dataValidation sqref="B8" showDropDown="0" showInputMessage="0" showErrorMessage="0" allowBlank="0" type="decimal"/>
    <dataValidation sqref="B9" showDropDown="0" showInputMessage="0" showErrorMessage="0" allowBlank="0" type="decimal"/>
    <dataValidation sqref="B10" showDropDown="0" showInputMessage="0" showErrorMessage="0" allowBlank="0" type="decimal"/>
    <dataValidation sqref="B11" showDropDown="0" showInputMessage="0" showErrorMessage="0" allowBlank="0" type="decimal"/>
    <dataValidation sqref="B12" showDropDown="0" showInputMessage="0" showErrorMessage="0" allowBlank="0" type="decimal"/>
    <dataValidation sqref="B13" showDropDown="0" showInputMessage="0" showErrorMessage="0" allowBlank="0" type="decimal"/>
    <dataValidation sqref="B14" showDropDown="0" showInputMessage="0" showErrorMessage="0" allowBlank="0" type="decimal"/>
    <dataValidation sqref="B15" showDropDown="0" showInputMessage="0" showErrorMessage="0" allowBlank="0" type="decimal"/>
    <dataValidation sqref="B16" showDropDown="0" showInputMessage="0" showErrorMessage="0" allowBlank="0" type="decimal"/>
    <dataValidation sqref="B17" showDropDown="0" showInputMessage="0" showErrorMessage="0" allowBlank="0" type="decimal"/>
    <dataValidation sqref="B18" showDropDown="0" showInputMessage="0" showErrorMessage="0" allowBlank="0" type="decimal"/>
    <dataValidation sqref="B19" showDropDown="0" showInputMessage="0" showErrorMessage="0" allowBlank="0" type="decimal"/>
    <dataValidation sqref="B20" showDropDown="0" showInputMessage="0" showErrorMessage="0" allowBlank="0" type="decimal"/>
    <dataValidation sqref="B21" showDropDown="0" showInputMessage="0" showErrorMessage="0" allowBlank="0" type="decimal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7" t="inlineStr">
        <is>
          <t>Year</t>
        </is>
      </c>
      <c r="B1" s="7" t="inlineStr">
        <is>
          <t>Infl Adj</t>
        </is>
      </c>
      <c r="C1" s="7" t="inlineStr">
        <is>
          <t>Wage</t>
        </is>
      </c>
      <c r="D1" s="7" t="inlineStr">
        <is>
          <t>Savings</t>
        </is>
      </c>
      <c r="E1" s="7" t="inlineStr">
        <is>
          <t>Down Pmt</t>
        </is>
      </c>
      <c r="F1" s="7" t="inlineStr">
        <is>
          <t>Sale Price</t>
        </is>
      </c>
      <c r="G1" s="7" t="inlineStr">
        <is>
          <t>Buy Price</t>
        </is>
      </c>
      <c r="H1" s="7" t="inlineStr">
        <is>
          <t>Max Loan</t>
        </is>
      </c>
      <c r="I1" s="7" t="inlineStr">
        <is>
          <t>Max Buy P</t>
        </is>
      </c>
    </row>
    <row r="2">
      <c r="A2" s="8" t="n">
        <v>0</v>
      </c>
      <c r="B2" s="9">
        <f>(1+Inputs!B21)^0</f>
        <v/>
      </c>
      <c r="C2" s="10">
        <f>Inputs!B5*(1+Inputs!B6)^0</f>
        <v/>
      </c>
      <c r="D2" s="10">
        <f>Inputs!B8+Inputs!B7*0</f>
        <v/>
      </c>
      <c r="E2" s="10">
        <f>D2</f>
        <v/>
      </c>
      <c r="F2" s="10">
        <f>Inputs!B9*(1+Inputs!B11)^0</f>
        <v/>
      </c>
      <c r="G2" s="10">
        <f>Inputs!B9*(1+Inputs!B12)^0</f>
        <v/>
      </c>
      <c r="H2" s="10">
        <f>PMT(Inputs!B14/12,Inputs!B15*12,-Inputs!B13)*12*Inputs!B16 + 0</f>
        <v/>
      </c>
      <c r="I2" s="10">
        <f>((Inputs!B13 - (G2*Inputs!B17/12) - (Inputs!B18/12) - Inputs!B19) / ((Inputs!B14/12)/(1-(1+Inputs!B14/12)^(-Inputs!B15*12)))) / (1-Inputs!B16)</f>
        <v/>
      </c>
    </row>
    <row r="3">
      <c r="A3" s="8" t="n">
        <v>1</v>
      </c>
      <c r="B3" s="9">
        <f>(1+Inputs!B21)^1</f>
        <v/>
      </c>
      <c r="C3" s="10">
        <f>Inputs!B5*(1+Inputs!B6)^1</f>
        <v/>
      </c>
      <c r="D3" s="10">
        <f>Inputs!B8+Inputs!B7*1</f>
        <v/>
      </c>
      <c r="E3" s="10">
        <f>D3</f>
        <v/>
      </c>
      <c r="F3" s="10">
        <f>Inputs!B9*(1+Inputs!B11)^1</f>
        <v/>
      </c>
      <c r="G3" s="10">
        <f>Inputs!B9*(1+Inputs!B12)^1</f>
        <v/>
      </c>
      <c r="H3" s="10">
        <f>PMT(Inputs!B14/12,Inputs!B15*12,-Inputs!B13)*12*Inputs!B16 + 0</f>
        <v/>
      </c>
      <c r="I3" s="10">
        <f>((Inputs!B13 - (G3*Inputs!B17/12) - (Inputs!B18/12) - Inputs!B19) / ((Inputs!B14/12)/(1-(1+Inputs!B14/12)^(-Inputs!B15*12)))) / (1-Inputs!B16)</f>
        <v/>
      </c>
    </row>
    <row r="4">
      <c r="A4" s="8" t="n">
        <v>2</v>
      </c>
      <c r="B4" s="9">
        <f>(1+Inputs!B21)^2</f>
        <v/>
      </c>
      <c r="C4" s="10">
        <f>Inputs!B5*(1+Inputs!B6)^2</f>
        <v/>
      </c>
      <c r="D4" s="10">
        <f>Inputs!B8+Inputs!B7*2</f>
        <v/>
      </c>
      <c r="E4" s="10">
        <f>D4</f>
        <v/>
      </c>
      <c r="F4" s="10">
        <f>Inputs!B9*(1+Inputs!B11)^2</f>
        <v/>
      </c>
      <c r="G4" s="10">
        <f>Inputs!B9*(1+Inputs!B12)^2</f>
        <v/>
      </c>
      <c r="H4" s="10">
        <f>PMT(Inputs!B14/12,Inputs!B15*12,-Inputs!B13)*12*Inputs!B16 + 0</f>
        <v/>
      </c>
      <c r="I4" s="10">
        <f>((Inputs!B13 - (G4*Inputs!B17/12) - (Inputs!B18/12) - Inputs!B19) / ((Inputs!B14/12)/(1-(1+Inputs!B14/12)^(-Inputs!B15*12)))) / (1-Inputs!B16)</f>
        <v/>
      </c>
    </row>
    <row r="5">
      <c r="A5" s="8" t="n">
        <v>3</v>
      </c>
      <c r="B5" s="9">
        <f>(1+Inputs!B21)^3</f>
        <v/>
      </c>
      <c r="C5" s="10">
        <f>Inputs!B5*(1+Inputs!B6)^3</f>
        <v/>
      </c>
      <c r="D5" s="10">
        <f>Inputs!B8+Inputs!B7*3</f>
        <v/>
      </c>
      <c r="E5" s="10">
        <f>D5</f>
        <v/>
      </c>
      <c r="F5" s="10">
        <f>Inputs!B9*(1+Inputs!B11)^3</f>
        <v/>
      </c>
      <c r="G5" s="10">
        <f>Inputs!B9*(1+Inputs!B12)^3</f>
        <v/>
      </c>
      <c r="H5" s="10">
        <f>PMT(Inputs!B14/12,Inputs!B15*12,-Inputs!B13)*12*Inputs!B16 + 0</f>
        <v/>
      </c>
      <c r="I5" s="10">
        <f>((Inputs!B13 - (G5*Inputs!B17/12) - (Inputs!B18/12) - Inputs!B19) / ((Inputs!B14/12)/(1-(1+Inputs!B14/12)^(-Inputs!B15*12)))) / (1-Inputs!B16)</f>
        <v/>
      </c>
    </row>
    <row r="6">
      <c r="A6" s="8" t="n">
        <v>4</v>
      </c>
      <c r="B6" s="9">
        <f>(1+Inputs!B21)^4</f>
        <v/>
      </c>
      <c r="C6" s="10">
        <f>Inputs!B5*(1+Inputs!B6)^4</f>
        <v/>
      </c>
      <c r="D6" s="10">
        <f>Inputs!B8+Inputs!B7*4</f>
        <v/>
      </c>
      <c r="E6" s="10">
        <f>D6</f>
        <v/>
      </c>
      <c r="F6" s="10">
        <f>Inputs!B9*(1+Inputs!B11)^4</f>
        <v/>
      </c>
      <c r="G6" s="10">
        <f>Inputs!B9*(1+Inputs!B12)^4</f>
        <v/>
      </c>
      <c r="H6" s="10">
        <f>PMT(Inputs!B14/12,Inputs!B15*12,-Inputs!B13)*12*Inputs!B16 + 0</f>
        <v/>
      </c>
      <c r="I6" s="10">
        <f>((Inputs!B13 - (G6*Inputs!B17/12) - (Inputs!B18/12) - Inputs!B19) / ((Inputs!B14/12)/(1-(1+Inputs!B14/12)^(-Inputs!B15*12)))) / (1-Inputs!B16)</f>
        <v/>
      </c>
    </row>
    <row r="7">
      <c r="A7" s="8" t="n">
        <v>5</v>
      </c>
      <c r="B7" s="9">
        <f>(1+Inputs!B21)^5</f>
        <v/>
      </c>
      <c r="C7" s="10">
        <f>Inputs!B5*(1+Inputs!B6)^5</f>
        <v/>
      </c>
      <c r="D7" s="10">
        <f>Inputs!B8+Inputs!B7*5</f>
        <v/>
      </c>
      <c r="E7" s="10">
        <f>D7</f>
        <v/>
      </c>
      <c r="F7" s="10">
        <f>Inputs!B9*(1+Inputs!B11)^5</f>
        <v/>
      </c>
      <c r="G7" s="10">
        <f>Inputs!B9*(1+Inputs!B12)^5</f>
        <v/>
      </c>
      <c r="H7" s="10">
        <f>PMT(Inputs!B14/12,Inputs!B15*12,-Inputs!B13)*12*Inputs!B16 + 0</f>
        <v/>
      </c>
      <c r="I7" s="10">
        <f>((Inputs!B13 - (G7*Inputs!B17/12) - (Inputs!B18/12) - Inputs!B19) / ((Inputs!B14/12)/(1-(1+Inputs!B14/12)^(-Inputs!B15*12)))) / (1-Inputs!B16)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" customWidth="1" min="3" max="3"/>
    <col width="18" customWidth="1" min="4" max="4"/>
  </cols>
  <sheetData>
    <row r="1">
      <c r="A1" s="1" t="inlineStr">
        <is>
          <t>Current Affordability</t>
        </is>
      </c>
    </row>
    <row r="3">
      <c r="A3" s="2" t="inlineStr">
        <is>
          <t>Key Output</t>
        </is>
      </c>
    </row>
    <row r="5">
      <c r="A5" s="3" t="inlineStr">
        <is>
          <t>Current max purchase price</t>
        </is>
      </c>
      <c r="B5" s="10">
        <f>Projection!I2</f>
        <v/>
      </c>
    </row>
    <row r="6">
      <c r="A6" s="3" t="inlineStr">
        <is>
          <t>Next 5-year purchase price range</t>
        </is>
      </c>
      <c r="B6" s="10">
        <f>MIN(Projection!I2:I7)&amp;" to "&amp;MAX(Projection!I2:I7)</f>
        <v/>
      </c>
    </row>
    <row r="7">
      <c r="A7" s="3" t="inlineStr">
        <is>
          <t>Best year shown</t>
        </is>
      </c>
      <c r="B7" s="11">
        <f>MATCH(MAX(Projection!I2:I7),Projection!I2:I7,0)-1</f>
        <v/>
      </c>
    </row>
    <row r="8">
      <c r="A8" s="3" t="inlineStr">
        <is>
          <t>Based on monthly payment</t>
        </is>
      </c>
      <c r="B8" s="10">
        <f>Inputs!B13</f>
        <v/>
      </c>
    </row>
    <row r="9">
      <c r="A9" s="3" t="inlineStr">
        <is>
          <t>Inflation-adjusted today value</t>
        </is>
      </c>
      <c r="B9" s="10">
        <f>Projection!I2</f>
        <v/>
      </c>
    </row>
    <row r="10">
      <c r="A10" s="3" t="inlineStr">
        <is>
          <t>Estimated affordability lift by year 5</t>
        </is>
      </c>
      <c r="B10" s="10">
        <f>Projection!I7-Projection!I2</f>
        <v/>
      </c>
    </row>
    <row r="13">
      <c r="A13" s="12" t="inlineStr">
        <is>
          <t>Method</t>
        </is>
      </c>
      <c r="B13" s="13" t="inlineStr">
        <is>
          <t>Affordability uses max payment, tax, insurance, HOA, PMI, down payment, and appreciation assumptions.</t>
        </is>
      </c>
    </row>
    <row r="14"/>
  </sheetData>
  <mergeCells count="3">
    <mergeCell ref="A1:D1"/>
    <mergeCell ref="B13:D14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2026-05-25T16:35:03Z</dcterms:created>
  <dcterms:modified xmlns:dcterms="http://purl.org/dc/terms/" xmlns:xsi="http://www.w3.org/2001/XMLSchema-instance" xsi:type="dcterms:W3CDTF">2026-05-25T16:35:03Z</dcterms:modified>
</cp:coreProperties>
</file>